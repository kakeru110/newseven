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月次PL" sheetId="1" state="visible" r:id="rId3"/>
    <sheet name="チャネル別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<sst xmlns="http://schemas.openxmlformats.org/spreadsheetml/2006/main" count="131" uniqueCount="114">
  <si>
    <r>
      <rPr>
        <b val="true"/>
        <sz val="13"/>
        <rFont val="Arial"/>
        <family val="0"/>
        <charset val="1"/>
      </rPr>
      <t xml:space="preserve">Kamakura Gate Inn</t>
    </r>
    <r>
      <rPr>
        <b val="true"/>
        <sz val="13"/>
        <rFont val="Noto Sans CJK SC"/>
        <family val="2"/>
      </rPr>
      <t xml:space="preserve">　月次損益（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Noto Sans CJK SC"/>
        <family val="2"/>
      </rPr>
      <t xml:space="preserve">年・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月方式に統一）</t>
    </r>
  </si>
  <si>
    <t xml:space="preserve">売上＝運営サポート収支表の宿泊料（税込）。Booking.com売上に掛かっていた11/12の係数を除去し実額に修正。</t>
  </si>
  <si>
    <t xml:space="preserve">項目</t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</si>
  <si>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</si>
  <si>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</si>
  <si>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</si>
  <si>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</si>
  <si>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</si>
  <si>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Noto Sans CJK SC"/>
        <family val="2"/>
      </rPr>
      <t xml:space="preserve">月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</si>
  <si>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Noto Sans CJK SC"/>
        <family val="2"/>
      </rPr>
      <t xml:space="preserve">月</t>
    </r>
  </si>
  <si>
    <t xml:space="preserve">合計</t>
  </si>
  <si>
    <t xml:space="preserve">■ 稼働</t>
  </si>
  <si>
    <t xml:space="preserve">暦日数</t>
  </si>
  <si>
    <t xml:space="preserve">実泊数（在室ベース）</t>
  </si>
  <si>
    <t xml:space="preserve">売上計上泊数</t>
  </si>
  <si>
    <t xml:space="preserve">清掃回数（請求書ベース）</t>
  </si>
  <si>
    <t xml:space="preserve">稼働率</t>
  </si>
  <si>
    <t xml:space="preserve">平均宿泊日数</t>
  </si>
  <si>
    <t xml:space="preserve">■ 売上（税込）</t>
  </si>
  <si>
    <t xml:space="preserve">　Airbnb</t>
  </si>
  <si>
    <t xml:space="preserve">　Booking.com</t>
  </si>
  <si>
    <t xml:space="preserve">　自社サイト</t>
  </si>
  <si>
    <t xml:space="preserve">　3月（チャネル内訳不明）</t>
  </si>
  <si>
    <t xml:space="preserve">売上 計</t>
  </si>
  <si>
    <r>
      <rPr>
        <sz val="10"/>
        <rFont val="Arial"/>
        <family val="0"/>
        <charset val="1"/>
      </rPr>
      <t xml:space="preserve">ADR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泊単価）</t>
    </r>
  </si>
  <si>
    <t xml:space="preserve">■ 変動費</t>
  </si>
  <si>
    <t xml:space="preserve">　清掃請負費（税抜）</t>
  </si>
  <si>
    <t xml:space="preserve">　ごみ回収費（税抜）</t>
  </si>
  <si>
    <t xml:space="preserve">　立替宿泊費（業者負担）</t>
  </si>
  <si>
    <t xml:space="preserve">清掃費計（税込）</t>
  </si>
  <si>
    <r>
      <rPr>
        <sz val="10"/>
        <rFont val="Arial"/>
        <family val="0"/>
        <charset val="1"/>
      </rPr>
      <t xml:space="preserve">OTA</t>
    </r>
    <r>
      <rPr>
        <sz val="10"/>
        <rFont val="Noto Sans CJK SC"/>
        <family val="2"/>
      </rPr>
      <t xml:space="preserve">手数料</t>
    </r>
  </si>
  <si>
    <t xml:space="preserve">運営サポート料（税込）</t>
  </si>
  <si>
    <t xml:space="preserve">光熱費（水道・電気・ガス）</t>
  </si>
  <si>
    <t xml:space="preserve">日用品</t>
  </si>
  <si>
    <t xml:space="preserve">変動費 計</t>
  </si>
  <si>
    <t xml:space="preserve">限界利益</t>
  </si>
  <si>
    <t xml:space="preserve">限界利益率</t>
  </si>
  <si>
    <t xml:space="preserve">■ 固定費</t>
  </si>
  <si>
    <t xml:space="preserve">　家賃</t>
  </si>
  <si>
    <t xml:space="preserve">　インターネット</t>
  </si>
  <si>
    <t xml:space="preserve">　Beds24</t>
  </si>
  <si>
    <t xml:space="preserve">　PriceLabs</t>
  </si>
  <si>
    <t xml:space="preserve">　運営委託費（代行基本料・税込）</t>
  </si>
  <si>
    <t xml:space="preserve">　チェックインシステム（税込）</t>
  </si>
  <si>
    <t xml:space="preserve">　騒音センサー（税込）</t>
  </si>
  <si>
    <t xml:space="preserve">固定費 計</t>
  </si>
  <si>
    <t xml:space="preserve">■ 損益</t>
  </si>
  <si>
    <t xml:space="preserve">営業損益</t>
  </si>
  <si>
    <t xml:space="preserve">損益分岐売上</t>
  </si>
  <si>
    <t xml:space="preserve">損益分岐稼働率</t>
  </si>
  <si>
    <t xml:space="preserve">【前提条件】</t>
  </si>
  <si>
    <t xml:space="preserve">消費税率（1+r）</t>
  </si>
  <si>
    <t xml:space="preserve">運営サポート料率（対売上・税抜）</t>
  </si>
  <si>
    <t xml:space="preserve">【凡例】青字＝実額入力（請求書・収支表より）　黒字＝計算式　黄色＝前提条件　オレンジ字＝8月の仮置き数値</t>
  </si>
  <si>
    <t xml:space="preserve">【8月について（全てオレンジ表示・確定値ではない）】</t>
  </si>
  <si>
    <t xml:space="preserve">・作成時点で8月は未了。売上・泊数・清掃回数は旧シートの暫定値をそのまま使用。</t>
  </si>
  <si>
    <t xml:space="preserve">・清掃請負費 130,000円＝20回×6,500円。ごみ回収費 35,200円＝20回×2.2袋×800円（直近実績の袋数で置換）。</t>
  </si>
  <si>
    <t xml:space="preserve">　旧シートの清掃業者155,000円は袋数が過少で、約27,000円不足していたため差し替え。</t>
  </si>
  <si>
    <t xml:space="preserve">・OTA手数料 122,815円＝Airbnb 293,548×15.5%＋Booking 540,661×14.3%（実料率ベース）。旧シートは15%一律で125,543円。</t>
  </si>
  <si>
    <t xml:space="preserve">・光熱費 21,982円＝758円/泊×29泊、日用品 11,629円＝401円/泊×29泊（2・4〜7月実績の泊数単価で置換）。</t>
  </si>
  <si>
    <t xml:space="preserve">　旧シートは7月の実額をコピーしていたため、稼働94%の月として過少だった。</t>
  </si>
  <si>
    <t xml:space="preserve">・チャネル別シートの8月は売上とOTA手数料のみ。予約件数・泊数の内訳は収支表未着のため0のまま。</t>
  </si>
  <si>
    <t xml:space="preserve">【修正内容】</t>
  </si>
  <si>
    <t xml:space="preserve">・Booking.com売上：2月・4月・5月のシート値は実額の11/12（8.33%減）になっていたため実額に修正（計+66,063円）。</t>
  </si>
  <si>
    <t xml:space="preserve">　Airbnbは全月とも正しかった。6月以降は係数が解消済み。</t>
  </si>
  <si>
    <t xml:space="preserve">・3月：収支表PDF未入手。請求書のサポート料金63,560円÷10%＝635,600円で総額のみ算出。チャネル内訳は未確定。</t>
  </si>
  <si>
    <t xml:space="preserve">・3月OTA手数料94,387円は推定値（他5ヶ月の実績加重平均14.85%）。収支表入手後に差替えのこと。</t>
  </si>
  <si>
    <t xml:space="preserve">・代行費を変動部分（サポート料＝売上×10%）と固定部分（委託費・システム・センサー）に分離。</t>
  </si>
  <si>
    <t xml:space="preserve">・騒音センサーは5月分請求から発生（旧シートの月500円・4月開始は誤り）。</t>
  </si>
  <si>
    <t xml:space="preserve">【泊数の2系統について】</t>
  </si>
  <si>
    <t xml:space="preserve">・実泊数＝収支表の宿泊日数合計。月跨ぎ滞在の当月分を含む（在室日数なので稼働率はこちらを使用）。</t>
  </si>
  <si>
    <t xml:space="preserve">・売上計上泊数＝当月に売上が立った予約の泊数。6月・7月は前月計上の月跨ぎ滞在が各3泊あるため実泊数と乖離。</t>
  </si>
  <si>
    <t xml:space="preserve">　ADRはこちらを使用（売上と分母を一致させるため）。</t>
  </si>
  <si>
    <t xml:space="preserve">【出典】</t>
  </si>
  <si>
    <t xml:space="preserve">・売上・OTA手数料：グッドネイバーズ「運営サポート収支表」PDF（予約明細を全件集計、合計一致を確認済み）</t>
  </si>
  <si>
    <t xml:space="preserve">・清掃請負費・ごみ回収費：ラフプラス請求書明細（清掃6,500円/回、ごみ800円/袋、税抜）。7月はソファカバー洗濯1,500円を含む。</t>
  </si>
  <si>
    <t xml:space="preserve">・5月の立替宿泊費 -21,868円：清掃漏れ発生分を清掃業者が全額負担。評価4で着地、実損なし。</t>
  </si>
  <si>
    <t xml:space="preserve">・6月・7月の収支表予約件数（13件・19件）と清掃請求回数（12回・16回）の差は月跨ぎ滞在によるもの。請求は正しい。</t>
  </si>
  <si>
    <t xml:space="preserve">【未確定】</t>
  </si>
  <si>
    <t xml:space="preserve">・8月：光熱費が7月値のコピーのため未計上。実額確定後に追加のこと。</t>
  </si>
  <si>
    <t xml:space="preserve">チャネル別収益性（2026年2・4〜7月／3月は収支表未入手のため除外）</t>
  </si>
  <si>
    <t xml:space="preserve">収支表PDFの予約明細を全件集計。OTA手数料は実額（推定値なし）。</t>
  </si>
  <si>
    <t xml:space="preserve">計（8月除く）</t>
  </si>
  <si>
    <t xml:space="preserve">■ Airbnb</t>
  </si>
  <si>
    <t xml:space="preserve">　売上（税込）</t>
  </si>
  <si>
    <t xml:space="preserve">　予約件数</t>
  </si>
  <si>
    <t xml:space="preserve">　泊数</t>
  </si>
  <si>
    <t xml:space="preserve">　OTA手数料（実額）</t>
  </si>
  <si>
    <t xml:space="preserve">　実料率</t>
  </si>
  <si>
    <t xml:space="preserve">　ADR</t>
  </si>
  <si>
    <t xml:space="preserve">　平均宿泊日数</t>
  </si>
  <si>
    <t xml:space="preserve">■ Booking.com</t>
  </si>
  <si>
    <t xml:space="preserve">　うち宣伝プログラム適用額</t>
  </si>
  <si>
    <r>
      <rPr>
        <b val="true"/>
        <sz val="10"/>
        <color rgb="FF1F3864"/>
        <rFont val="Arial"/>
        <family val="0"/>
        <charset val="1"/>
      </rPr>
      <t xml:space="preserve">■ 1</t>
    </r>
    <r>
      <rPr>
        <b val="true"/>
        <sz val="10"/>
        <color rgb="FF1F3864"/>
        <rFont val="Noto Sans CJK SC"/>
        <family val="2"/>
      </rPr>
      <t xml:space="preserve">泊あたり限界利益</t>
    </r>
  </si>
  <si>
    <t xml:space="preserve">Airbnb</t>
  </si>
  <si>
    <t xml:space="preserve">Booking.com</t>
  </si>
  <si>
    <t xml:space="preserve">■ 単価前提（直近実績）</t>
  </si>
  <si>
    <t xml:space="preserve">清掃＋ごみ（税込・1滞在あたり）</t>
  </si>
  <si>
    <t xml:space="preserve">光熱＋日用品（1泊あたり）</t>
  </si>
  <si>
    <t xml:space="preserve">【1泊あたり限界利益の計算式】</t>
  </si>
  <si>
    <t xml:space="preserve">　ADR ×（1 − OTA実料率 − 運営サポート料率×1.1）− 清掃単価÷平均宿泊日数 − 光熱日用品単価</t>
  </si>
  <si>
    <t xml:space="preserve">　※固定費（家賃・Beds24・PriceLabs・代行基本料等）は含まない。追加1泊を受けるかの判断に使う数値。</t>
  </si>
  <si>
    <t xml:space="preserve">【単価前提の根拠】</t>
  </si>
  <si>
    <t xml:space="preserve">・清掃＋ごみ 8,540円/滞在：2・4〜7月のラフプラス請求実額（5月の立替控除21,868円を戻した金額）÷清掃74回。</t>
  </si>
  <si>
    <r>
      <rPr>
        <sz val="9"/>
        <color rgb="FF595959"/>
        <rFont val="Noto Sans CJK SC"/>
        <family val="2"/>
      </rPr>
      <t xml:space="preserve">・合計列は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月を除く（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月はチャネル別の予約件数・泊数が未確定のため）。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月の売上・</t>
    </r>
    <r>
      <rPr>
        <sz val="9"/>
        <color rgb="FF595959"/>
        <rFont val="Arial"/>
        <family val="0"/>
        <charset val="1"/>
      </rPr>
      <t xml:space="preserve">OTA</t>
    </r>
    <r>
      <rPr>
        <sz val="9"/>
        <color rgb="FF595959"/>
        <rFont val="Noto Sans CJK SC"/>
        <family val="2"/>
      </rPr>
      <t xml:space="preserve">手数料のみ参考表示。</t>
    </r>
  </si>
  <si>
    <t xml:space="preserve">・ごみ袋は1滞在1.0袋（2月）→2.4袋（6月）と増加傾向。上記単価は期間平均のため、直近実績はこれより高い。</t>
  </si>
  <si>
    <t xml:space="preserve">【OTA実料率の推移】</t>
  </si>
  <si>
    <t xml:space="preserve">・Airbnb：全期間15.50%で一定（例外なし）。</t>
  </si>
  <si>
    <t xml:space="preserve">・Booking.com：2月 13.30% ／ 4〜5月 13.30%＋宣伝プログラム適用分16.97% ／ 6月以降 14.30%。</t>
  </si>
  <si>
    <t xml:space="preserve">　6月に基本料率が13.30%→14.30%へ1ポイント上昇。エクストラネットで契約料率の確認を推奨。</t>
  </si>
  <si>
    <t xml:space="preserve">・宣伝プログラムは4月にBooking売上の64%（220,091円）、5月に11.7%（39,587円）へ適用。6月以降は適用なし。</t>
  </si>
  <si>
    <t xml:space="preserve">【注意】</t>
  </si>
  <si>
    <t xml:space="preserve">・3月は収支表PDF未入手のためチャネル別集計から除外。総額のみ月次PLシートに計上。</t>
  </si>
  <si>
    <t xml:space="preserve">・自社サイト経由の予約は全期間0件。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</si>
</sst>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#,##0.00;\(#,##0.00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1F3864"/>
      <name val="Noto Sans CJK SC"/>
      <family val="2"/>
      <charset val="1"/>
    </font>
    <font>
      <sz val="10"/>
      <name val="Noto Sans CJK SC"/>
      <family val="2"/>
      <charset val="1"/>
    </font>
    <font>
      <sz val="10"/>
      <color rgb="FF0000FF"/>
      <name val="Arial"/>
      <family val="0"/>
      <charset val="1"/>
    </font>
    <font>
      <sz val="10"/>
      <color rgb="FFC55A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Noto Sans CJK SC"/>
      <family val="2"/>
      <charset val="1"/>
    </font>
    <font>
      <b val="true"/>
      <sz val="10"/>
      <color rgb="FFC55A11"/>
      <name val="Arial"/>
      <family val="0"/>
      <charset val="1"/>
    </font>
    <font>
      <sz val="10"/>
      <name val="Noto Sans CJK SC"/>
      <family val="2"/>
    </font>
    <font>
      <b val="true"/>
      <sz val="13"/>
      <name val="Noto Sans CJK SC"/>
      <family val="2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1F3864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3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6" customFormat="false" ht="15" hidden="false" customHeight="true" outlineLevel="0" collapsed="false">
      <c r="A6" s="7" t="s">
        <v>11</v>
      </c>
      <c r="B6" s="8"/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9" t="s">
        <v>12</v>
      </c>
      <c r="B7" s="10" t="n">
        <v>28</v>
      </c>
      <c r="C7" s="10" t="n">
        <v>31</v>
      </c>
      <c r="D7" s="10" t="n">
        <v>30</v>
      </c>
      <c r="E7" s="10" t="n">
        <v>31</v>
      </c>
      <c r="F7" s="10" t="n">
        <v>30</v>
      </c>
      <c r="G7" s="10" t="n">
        <v>31</v>
      </c>
      <c r="H7" s="11" t="n">
        <v>31</v>
      </c>
    </row>
    <row r="8" customFormat="false" ht="15" hidden="false" customHeight="true" outlineLevel="0" collapsed="false">
      <c r="A8" s="9" t="s">
        <v>13</v>
      </c>
      <c r="B8" s="10" t="n">
        <v>15</v>
      </c>
      <c r="C8" s="10" t="n">
        <v>28</v>
      </c>
      <c r="D8" s="10" t="n">
        <v>22</v>
      </c>
      <c r="E8" s="10" t="n">
        <v>23</v>
      </c>
      <c r="F8" s="10" t="n">
        <v>23</v>
      </c>
      <c r="G8" s="10" t="n">
        <v>24</v>
      </c>
      <c r="H8" s="11" t="n">
        <v>29</v>
      </c>
      <c r="I8" s="12" t="n">
        <f aca="false">SUM(B8:H8)</f>
        <v>164</v>
      </c>
    </row>
    <row r="9" customFormat="false" ht="15" hidden="false" customHeight="true" outlineLevel="0" collapsed="false">
      <c r="A9" s="9" t="s">
        <v>14</v>
      </c>
      <c r="B9" s="10" t="n">
        <v>15</v>
      </c>
      <c r="C9" s="10" t="n">
        <v>28</v>
      </c>
      <c r="D9" s="10" t="n">
        <v>22</v>
      </c>
      <c r="E9" s="10" t="n">
        <v>23</v>
      </c>
      <c r="F9" s="10" t="n">
        <v>20</v>
      </c>
      <c r="G9" s="10" t="n">
        <v>21</v>
      </c>
      <c r="H9" s="11" t="n">
        <v>29</v>
      </c>
      <c r="I9" s="12" t="n">
        <f aca="false">SUM(B9:H9)</f>
        <v>158</v>
      </c>
    </row>
    <row r="10" customFormat="false" ht="15" hidden="false" customHeight="true" outlineLevel="0" collapsed="false">
      <c r="A10" s="9" t="s">
        <v>15</v>
      </c>
      <c r="B10" s="10" t="n">
        <v>12</v>
      </c>
      <c r="C10" s="10" t="n">
        <v>25</v>
      </c>
      <c r="D10" s="10" t="n">
        <v>17</v>
      </c>
      <c r="E10" s="10" t="n">
        <v>17</v>
      </c>
      <c r="F10" s="10" t="n">
        <v>12</v>
      </c>
      <c r="G10" s="10" t="n">
        <v>16</v>
      </c>
      <c r="H10" s="11" t="n">
        <v>20</v>
      </c>
      <c r="I10" s="12" t="n">
        <f aca="false">SUM(B10:H10)</f>
        <v>119</v>
      </c>
    </row>
    <row r="11" customFormat="false" ht="15" hidden="false" customHeight="true" outlineLevel="0" collapsed="false">
      <c r="A11" s="9" t="s">
        <v>16</v>
      </c>
      <c r="B11" s="13" t="n">
        <f aca="false">B8/B7</f>
        <v>0.535714285714286</v>
      </c>
      <c r="C11" s="13" t="n">
        <f aca="false">C8/C7</f>
        <v>0.903225806451613</v>
      </c>
      <c r="D11" s="13" t="n">
        <f aca="false">D8/D7</f>
        <v>0.733333333333333</v>
      </c>
      <c r="E11" s="13" t="n">
        <f aca="false">E8/E7</f>
        <v>0.741935483870968</v>
      </c>
      <c r="F11" s="13" t="n">
        <f aca="false">F8/F7</f>
        <v>0.766666666666667</v>
      </c>
      <c r="G11" s="13" t="n">
        <f aca="false">G8/G7</f>
        <v>0.774193548387097</v>
      </c>
      <c r="H11" s="14" t="n">
        <f aca="false">H8/H7</f>
        <v>0.935483870967742</v>
      </c>
      <c r="I11" s="15" t="n">
        <f aca="false">I8/SUM(B7:H7)</f>
        <v>0.773584905660377</v>
      </c>
    </row>
    <row r="12" customFormat="false" ht="15" hidden="false" customHeight="true" outlineLevel="0" collapsed="false">
      <c r="A12" s="9" t="s">
        <v>17</v>
      </c>
      <c r="B12" s="16" t="n">
        <f aca="false">B8/B10</f>
        <v>1.25</v>
      </c>
      <c r="C12" s="16" t="n">
        <f aca="false">C8/C10</f>
        <v>1.12</v>
      </c>
      <c r="D12" s="16" t="n">
        <f aca="false">D8/D10</f>
        <v>1.29411764705882</v>
      </c>
      <c r="E12" s="16" t="n">
        <f aca="false">E8/E10</f>
        <v>1.35294117647059</v>
      </c>
      <c r="F12" s="16" t="n">
        <f aca="false">F8/F10</f>
        <v>1.91666666666667</v>
      </c>
      <c r="G12" s="16" t="n">
        <f aca="false">G8/G10</f>
        <v>1.5</v>
      </c>
      <c r="H12" s="17" t="n">
        <f aca="false">H8/H10</f>
        <v>1.45</v>
      </c>
      <c r="I12" s="18" t="n">
        <f aca="false">I8/I10</f>
        <v>1.3781512605042</v>
      </c>
    </row>
    <row r="14" customFormat="false" ht="15" hidden="false" customHeight="true" outlineLevel="0" collapsed="false">
      <c r="A14" s="7" t="s">
        <v>18</v>
      </c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9" t="s">
        <v>19</v>
      </c>
      <c r="B15" s="10" t="n">
        <v>122620</v>
      </c>
      <c r="C15" s="10" t="n">
        <v>0</v>
      </c>
      <c r="D15" s="10" t="n">
        <v>244960</v>
      </c>
      <c r="E15" s="10" t="n">
        <v>264566</v>
      </c>
      <c r="F15" s="10" t="n">
        <v>161020</v>
      </c>
      <c r="G15" s="10" t="n">
        <v>192635</v>
      </c>
      <c r="H15" s="11" t="n">
        <v>293548</v>
      </c>
      <c r="I15" s="12" t="n">
        <f aca="false">SUM(B15:H15)</f>
        <v>1279349</v>
      </c>
    </row>
    <row r="16" customFormat="false" ht="15" hidden="false" customHeight="true" outlineLevel="0" collapsed="false">
      <c r="A16" s="9" t="s">
        <v>20</v>
      </c>
      <c r="B16" s="10" t="n">
        <v>111955</v>
      </c>
      <c r="C16" s="10" t="n">
        <v>0</v>
      </c>
      <c r="D16" s="10" t="n">
        <v>342774</v>
      </c>
      <c r="E16" s="10" t="n">
        <v>338091</v>
      </c>
      <c r="F16" s="10" t="n">
        <v>314583</v>
      </c>
      <c r="G16" s="10" t="n">
        <v>338297</v>
      </c>
      <c r="H16" s="11" t="n">
        <v>540661</v>
      </c>
      <c r="I16" s="12" t="n">
        <f aca="false">SUM(B16:H16)</f>
        <v>1986361</v>
      </c>
    </row>
    <row r="17" customFormat="false" ht="15" hidden="false" customHeight="true" outlineLevel="0" collapsed="false">
      <c r="A17" s="9" t="s">
        <v>21</v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1" t="n">
        <v>0</v>
      </c>
      <c r="I17" s="12" t="n">
        <f aca="false">SUM(B17:H17)</f>
        <v>0</v>
      </c>
    </row>
    <row r="18" customFormat="false" ht="15" hidden="false" customHeight="true" outlineLevel="0" collapsed="false">
      <c r="A18" s="9" t="s">
        <v>22</v>
      </c>
      <c r="B18" s="10" t="n">
        <v>0</v>
      </c>
      <c r="C18" s="10" t="n">
        <v>635600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2" t="n">
        <f aca="false">SUM(B18:H18)</f>
        <v>635600</v>
      </c>
    </row>
    <row r="19" customFormat="false" ht="15" hidden="false" customHeight="true" outlineLevel="0" collapsed="false">
      <c r="A19" s="19" t="s">
        <v>23</v>
      </c>
      <c r="B19" s="12" t="n">
        <f aca="false">SUM(B15:B18)</f>
        <v>234575</v>
      </c>
      <c r="C19" s="12" t="n">
        <f aca="false">SUM(C15:C18)</f>
        <v>635600</v>
      </c>
      <c r="D19" s="12" t="n">
        <f aca="false">SUM(D15:D18)</f>
        <v>587734</v>
      </c>
      <c r="E19" s="12" t="n">
        <f aca="false">SUM(E15:E18)</f>
        <v>602657</v>
      </c>
      <c r="F19" s="12" t="n">
        <f aca="false">SUM(F15:F18)</f>
        <v>475603</v>
      </c>
      <c r="G19" s="12" t="n">
        <f aca="false">SUM(G15:G18)</f>
        <v>530932</v>
      </c>
      <c r="H19" s="20" t="n">
        <f aca="false">SUM(H15:H18)</f>
        <v>834209</v>
      </c>
      <c r="I19" s="12" t="n">
        <f aca="false">SUM(B19:H19)</f>
        <v>3901310</v>
      </c>
    </row>
    <row r="20" customFormat="false" ht="15" hidden="false" customHeight="true" outlineLevel="0" collapsed="false">
      <c r="A20" s="21" t="s">
        <v>24</v>
      </c>
      <c r="B20" s="22" t="n">
        <f aca="false">B19/B9</f>
        <v>15638.3333333333</v>
      </c>
      <c r="C20" s="22" t="n">
        <f aca="false">C19/C9</f>
        <v>22700</v>
      </c>
      <c r="D20" s="22" t="n">
        <f aca="false">D19/D9</f>
        <v>26715.1818181818</v>
      </c>
      <c r="E20" s="22" t="n">
        <f aca="false">E19/E9</f>
        <v>26202.4782608696</v>
      </c>
      <c r="F20" s="22" t="n">
        <f aca="false">F19/F9</f>
        <v>23780.15</v>
      </c>
      <c r="G20" s="22" t="n">
        <f aca="false">G19/G9</f>
        <v>25282.4761904762</v>
      </c>
      <c r="H20" s="11" t="n">
        <f aca="false">H19/H9</f>
        <v>28765.8275862069</v>
      </c>
      <c r="I20" s="12" t="n">
        <f aca="false">I19/I9</f>
        <v>24691.835443038</v>
      </c>
    </row>
    <row r="22" customFormat="false" ht="15" hidden="false" customHeight="true" outlineLevel="0" collapsed="false">
      <c r="A22" s="7" t="s">
        <v>25</v>
      </c>
      <c r="B22" s="8"/>
      <c r="C22" s="8"/>
      <c r="D22" s="8"/>
      <c r="E22" s="8"/>
      <c r="F22" s="8"/>
      <c r="G22" s="8"/>
      <c r="H22" s="8"/>
    </row>
    <row r="23" customFormat="false" ht="15" hidden="false" customHeight="true" outlineLevel="0" collapsed="false">
      <c r="A23" s="9" t="s">
        <v>26</v>
      </c>
      <c r="B23" s="10" t="n">
        <v>78000</v>
      </c>
      <c r="C23" s="10" t="n">
        <v>162500</v>
      </c>
      <c r="D23" s="10" t="n">
        <v>110500</v>
      </c>
      <c r="E23" s="10" t="n">
        <v>110500</v>
      </c>
      <c r="F23" s="10" t="n">
        <v>78000</v>
      </c>
      <c r="G23" s="10" t="n">
        <v>105500</v>
      </c>
      <c r="H23" s="11" t="n">
        <v>130000</v>
      </c>
      <c r="I23" s="12" t="n">
        <f aca="false">SUM(B23:H23)</f>
        <v>775000</v>
      </c>
    </row>
    <row r="24" customFormat="false" ht="15" hidden="false" customHeight="true" outlineLevel="0" collapsed="false">
      <c r="A24" s="9" t="s">
        <v>27</v>
      </c>
      <c r="B24" s="10" t="n">
        <v>9600</v>
      </c>
      <c r="C24" s="10" t="n">
        <v>29600</v>
      </c>
      <c r="D24" s="10" t="n">
        <v>15200</v>
      </c>
      <c r="E24" s="10" t="n">
        <v>18400</v>
      </c>
      <c r="F24" s="10" t="n">
        <v>23200</v>
      </c>
      <c r="G24" s="10" t="n">
        <v>25600</v>
      </c>
      <c r="H24" s="11" t="n">
        <v>35200</v>
      </c>
      <c r="I24" s="12" t="n">
        <f aca="false">SUM(B24:H24)</f>
        <v>156800</v>
      </c>
    </row>
    <row r="25" customFormat="false" ht="15" hidden="false" customHeight="true" outlineLevel="0" collapsed="false">
      <c r="A25" s="9" t="s">
        <v>28</v>
      </c>
      <c r="B25" s="10" t="n">
        <v>0</v>
      </c>
      <c r="C25" s="10" t="n">
        <v>0</v>
      </c>
      <c r="D25" s="10" t="n">
        <v>0</v>
      </c>
      <c r="E25" s="10" t="n">
        <v>-21868</v>
      </c>
      <c r="F25" s="10" t="n">
        <v>0</v>
      </c>
      <c r="G25" s="10" t="n">
        <v>0</v>
      </c>
      <c r="H25" s="10" t="n">
        <v>0</v>
      </c>
      <c r="I25" s="12" t="n">
        <f aca="false">SUM(B25:H25)</f>
        <v>-21868</v>
      </c>
    </row>
    <row r="26" customFormat="false" ht="15" hidden="false" customHeight="true" outlineLevel="0" collapsed="false">
      <c r="A26" s="19" t="s">
        <v>29</v>
      </c>
      <c r="B26" s="12" t="n">
        <f aca="false">(B23+B24)*$B$52+B25</f>
        <v>96360</v>
      </c>
      <c r="C26" s="12" t="n">
        <f aca="false">(C23+C24)*$B$52+C25</f>
        <v>211310</v>
      </c>
      <c r="D26" s="12" t="n">
        <f aca="false">(D23+D24)*$B$52+D25</f>
        <v>138270</v>
      </c>
      <c r="E26" s="12" t="n">
        <f aca="false">(E23+E24)*$B$52+E25</f>
        <v>119922</v>
      </c>
      <c r="F26" s="12" t="n">
        <f aca="false">(F23+F24)*$B$52+F25</f>
        <v>111320</v>
      </c>
      <c r="G26" s="12" t="n">
        <f aca="false">(G23+G24)*$B$52+G25</f>
        <v>144210</v>
      </c>
      <c r="H26" s="20" t="n">
        <f aca="false">(H23+H24)*$B$52+H25</f>
        <v>181720</v>
      </c>
      <c r="I26" s="12" t="n">
        <f aca="false">SUM(B26:H26)</f>
        <v>1003112</v>
      </c>
    </row>
    <row r="27" customFormat="false" ht="15" hidden="false" customHeight="true" outlineLevel="0" collapsed="false">
      <c r="A27" s="21" t="s">
        <v>30</v>
      </c>
      <c r="B27" s="10" t="n">
        <v>33898</v>
      </c>
      <c r="C27" s="10" t="n">
        <v>94387</v>
      </c>
      <c r="D27" s="10" t="n">
        <v>91628</v>
      </c>
      <c r="E27" s="10" t="n">
        <v>87426</v>
      </c>
      <c r="F27" s="10" t="n">
        <v>69943</v>
      </c>
      <c r="G27" s="10" t="n">
        <v>78235</v>
      </c>
      <c r="H27" s="11" t="n">
        <v>122815</v>
      </c>
      <c r="I27" s="12" t="n">
        <f aca="false">SUM(B27:H27)</f>
        <v>578332</v>
      </c>
    </row>
    <row r="28" customFormat="false" ht="15" hidden="false" customHeight="true" outlineLevel="0" collapsed="false">
      <c r="A28" s="9" t="s">
        <v>31</v>
      </c>
      <c r="B28" s="22" t="n">
        <f aca="false">B19*$B$53*$B$52</f>
        <v>25803.25</v>
      </c>
      <c r="C28" s="22" t="n">
        <f aca="false">C19*$B$53*$B$52</f>
        <v>69916</v>
      </c>
      <c r="D28" s="22" t="n">
        <f aca="false">D19*$B$53*$B$52</f>
        <v>64650.74</v>
      </c>
      <c r="E28" s="22" t="n">
        <f aca="false">E19*$B$53*$B$52</f>
        <v>66292.27</v>
      </c>
      <c r="F28" s="22" t="n">
        <f aca="false">F19*$B$53*$B$52</f>
        <v>52316.33</v>
      </c>
      <c r="G28" s="22" t="n">
        <f aca="false">G19*$B$53*$B$52</f>
        <v>58402.52</v>
      </c>
      <c r="H28" s="11" t="n">
        <f aca="false">H19*$B$53*$B$52</f>
        <v>91762.99</v>
      </c>
      <c r="I28" s="12" t="n">
        <f aca="false">SUM(B28:H28)</f>
        <v>429144.1</v>
      </c>
    </row>
    <row r="29" customFormat="false" ht="15" hidden="false" customHeight="true" outlineLevel="0" collapsed="false">
      <c r="A29" s="9" t="s">
        <v>32</v>
      </c>
      <c r="B29" s="10" t="n">
        <v>13396</v>
      </c>
      <c r="C29" s="10" t="n">
        <v>22449</v>
      </c>
      <c r="D29" s="10" t="n">
        <v>16911</v>
      </c>
      <c r="E29" s="10" t="n">
        <v>13972</v>
      </c>
      <c r="F29" s="10" t="n">
        <v>14909</v>
      </c>
      <c r="G29" s="10" t="n">
        <v>17349</v>
      </c>
      <c r="H29" s="11" t="n">
        <v>21982</v>
      </c>
      <c r="I29" s="12" t="n">
        <f aca="false">SUM(B29:H29)</f>
        <v>120968</v>
      </c>
    </row>
    <row r="30" customFormat="false" ht="15" hidden="false" customHeight="true" outlineLevel="0" collapsed="false">
      <c r="A30" s="9" t="s">
        <v>33</v>
      </c>
      <c r="B30" s="10" t="n">
        <v>2698</v>
      </c>
      <c r="C30" s="10" t="n">
        <v>7440</v>
      </c>
      <c r="D30" s="10" t="n">
        <v>15233</v>
      </c>
      <c r="E30" s="10" t="n">
        <v>10119</v>
      </c>
      <c r="F30" s="10" t="n">
        <v>6173</v>
      </c>
      <c r="G30" s="10" t="n">
        <v>6259</v>
      </c>
      <c r="H30" s="11" t="n">
        <v>11629</v>
      </c>
      <c r="I30" s="12" t="n">
        <f aca="false">SUM(B30:H30)</f>
        <v>59551</v>
      </c>
    </row>
    <row r="31" customFormat="false" ht="15" hidden="false" customHeight="true" outlineLevel="0" collapsed="false">
      <c r="A31" s="19" t="s">
        <v>34</v>
      </c>
      <c r="B31" s="12" t="n">
        <f aca="false">B26+B27+B28+B29+B30</f>
        <v>172155.25</v>
      </c>
      <c r="C31" s="12" t="n">
        <f aca="false">C26+C27+C28+C29+C30</f>
        <v>405502</v>
      </c>
      <c r="D31" s="12" t="n">
        <f aca="false">D26+D27+D28+D29+D30</f>
        <v>326692.74</v>
      </c>
      <c r="E31" s="12" t="n">
        <f aca="false">E26+E27+E28+E29+E30</f>
        <v>297731.27</v>
      </c>
      <c r="F31" s="12" t="n">
        <f aca="false">F26+F27+F28+F29+F30</f>
        <v>254661.33</v>
      </c>
      <c r="G31" s="12" t="n">
        <f aca="false">G26+G27+G28+G29+G30</f>
        <v>304455.52</v>
      </c>
      <c r="H31" s="20" t="n">
        <f aca="false">H26+H27+H28+H29+H30</f>
        <v>429908.99</v>
      </c>
      <c r="I31" s="12" t="n">
        <f aca="false">SUM(B31:H31)</f>
        <v>2191107.1</v>
      </c>
    </row>
    <row r="32" customFormat="false" ht="15" hidden="false" customHeight="true" outlineLevel="0" collapsed="false">
      <c r="A32" s="19" t="s">
        <v>35</v>
      </c>
      <c r="B32" s="12" t="n">
        <f aca="false">B19-B31</f>
        <v>62419.75</v>
      </c>
      <c r="C32" s="12" t="n">
        <f aca="false">C19-C31</f>
        <v>230098</v>
      </c>
      <c r="D32" s="12" t="n">
        <f aca="false">D19-D31</f>
        <v>261041.26</v>
      </c>
      <c r="E32" s="12" t="n">
        <f aca="false">E19-E31</f>
        <v>304925.73</v>
      </c>
      <c r="F32" s="12" t="n">
        <f aca="false">F19-F31</f>
        <v>220941.67</v>
      </c>
      <c r="G32" s="12" t="n">
        <f aca="false">G19-G31</f>
        <v>226476.48</v>
      </c>
      <c r="H32" s="20" t="n">
        <f aca="false">H19-H31</f>
        <v>404300.01</v>
      </c>
      <c r="I32" s="12" t="n">
        <f aca="false">I19-I31</f>
        <v>1710202.9</v>
      </c>
    </row>
    <row r="33" customFormat="false" ht="15" hidden="false" customHeight="true" outlineLevel="0" collapsed="false">
      <c r="A33" s="19" t="s">
        <v>36</v>
      </c>
      <c r="B33" s="15" t="n">
        <f aca="false">B32/B19</f>
        <v>0.26609719705851</v>
      </c>
      <c r="C33" s="15" t="n">
        <f aca="false">C32/C19</f>
        <v>0.362016991818754</v>
      </c>
      <c r="D33" s="15" t="n">
        <f aca="false">D32/D19</f>
        <v>0.444148645475674</v>
      </c>
      <c r="E33" s="15" t="n">
        <f aca="false">E32/E19</f>
        <v>0.50596895082941</v>
      </c>
      <c r="F33" s="15" t="n">
        <f aca="false">F32/F19</f>
        <v>0.464550623103723</v>
      </c>
      <c r="G33" s="15" t="n">
        <f aca="false">G32/G19</f>
        <v>0.426564004429946</v>
      </c>
      <c r="H33" s="23" t="n">
        <f aca="false">H32/H19</f>
        <v>0.484650741001356</v>
      </c>
      <c r="I33" s="15" t="n">
        <f aca="false">I32/I19</f>
        <v>0.438366317980371</v>
      </c>
    </row>
    <row r="35" customFormat="false" ht="15" hidden="false" customHeight="true" outlineLevel="0" collapsed="false">
      <c r="A35" s="7" t="s">
        <v>37</v>
      </c>
      <c r="B35" s="8"/>
      <c r="C35" s="8"/>
      <c r="D35" s="8"/>
      <c r="E35" s="8"/>
      <c r="F35" s="8"/>
      <c r="G35" s="8"/>
      <c r="H35" s="8"/>
    </row>
    <row r="36" customFormat="false" ht="15" hidden="false" customHeight="true" outlineLevel="0" collapsed="false">
      <c r="A36" s="9" t="s">
        <v>38</v>
      </c>
      <c r="B36" s="10" t="n">
        <v>153000</v>
      </c>
      <c r="C36" s="10" t="n">
        <v>153000</v>
      </c>
      <c r="D36" s="10" t="n">
        <v>153000</v>
      </c>
      <c r="E36" s="10" t="n">
        <v>153000</v>
      </c>
      <c r="F36" s="10" t="n">
        <v>153000</v>
      </c>
      <c r="G36" s="10" t="n">
        <v>153000</v>
      </c>
      <c r="H36" s="10" t="n">
        <v>153000</v>
      </c>
      <c r="I36" s="12" t="n">
        <f aca="false">SUM(B36:H36)</f>
        <v>1071000</v>
      </c>
    </row>
    <row r="37" customFormat="false" ht="15" hidden="false" customHeight="true" outlineLevel="0" collapsed="false">
      <c r="A37" s="9" t="s">
        <v>39</v>
      </c>
      <c r="B37" s="10" t="n">
        <v>3979</v>
      </c>
      <c r="C37" s="10" t="n">
        <v>3979</v>
      </c>
      <c r="D37" s="10" t="n">
        <v>3979</v>
      </c>
      <c r="E37" s="10" t="n">
        <v>3979</v>
      </c>
      <c r="F37" s="10" t="n">
        <v>3979</v>
      </c>
      <c r="G37" s="10" t="n">
        <v>3979</v>
      </c>
      <c r="H37" s="10" t="n">
        <v>3979</v>
      </c>
      <c r="I37" s="12" t="n">
        <f aca="false">SUM(B37:H37)</f>
        <v>27853</v>
      </c>
    </row>
    <row r="38" customFormat="false" ht="15" hidden="false" customHeight="true" outlineLevel="0" collapsed="false">
      <c r="A38" s="9" t="s">
        <v>40</v>
      </c>
      <c r="B38" s="10" t="n">
        <v>4690</v>
      </c>
      <c r="C38" s="10" t="n">
        <v>4690</v>
      </c>
      <c r="D38" s="10" t="n">
        <v>4690</v>
      </c>
      <c r="E38" s="10" t="n">
        <v>4690</v>
      </c>
      <c r="F38" s="10" t="n">
        <v>4690</v>
      </c>
      <c r="G38" s="10" t="n">
        <v>4690</v>
      </c>
      <c r="H38" s="10" t="n">
        <v>4690</v>
      </c>
      <c r="I38" s="12" t="n">
        <f aca="false">SUM(B38:H38)</f>
        <v>32830</v>
      </c>
    </row>
    <row r="39" customFormat="false" ht="15" hidden="false" customHeight="true" outlineLevel="0" collapsed="false">
      <c r="A39" s="9" t="s">
        <v>41</v>
      </c>
      <c r="B39" s="10" t="n">
        <v>0</v>
      </c>
      <c r="C39" s="10" t="n">
        <v>0</v>
      </c>
      <c r="D39" s="10" t="n">
        <v>1600</v>
      </c>
      <c r="E39" s="10" t="n">
        <v>1600</v>
      </c>
      <c r="F39" s="10" t="n">
        <v>1600</v>
      </c>
      <c r="G39" s="10" t="n">
        <v>1600</v>
      </c>
      <c r="H39" s="10" t="n">
        <v>1600</v>
      </c>
      <c r="I39" s="12" t="n">
        <f aca="false">SUM(B39:H39)</f>
        <v>8000</v>
      </c>
    </row>
    <row r="40" customFormat="false" ht="15" hidden="false" customHeight="true" outlineLevel="0" collapsed="false">
      <c r="A40" s="9" t="s">
        <v>42</v>
      </c>
      <c r="B40" s="10" t="n">
        <v>22000</v>
      </c>
      <c r="C40" s="10" t="n">
        <v>22000</v>
      </c>
      <c r="D40" s="10" t="n">
        <v>22000</v>
      </c>
      <c r="E40" s="10" t="n">
        <v>22000</v>
      </c>
      <c r="F40" s="10" t="n">
        <v>22000</v>
      </c>
      <c r="G40" s="10" t="n">
        <v>22000</v>
      </c>
      <c r="H40" s="10" t="n">
        <v>22000</v>
      </c>
      <c r="I40" s="12" t="n">
        <f aca="false">SUM(B40:H40)</f>
        <v>154000</v>
      </c>
    </row>
    <row r="41" customFormat="false" ht="15" hidden="false" customHeight="true" outlineLevel="0" collapsed="false">
      <c r="A41" s="9" t="s">
        <v>43</v>
      </c>
      <c r="B41" s="10" t="n">
        <v>2200</v>
      </c>
      <c r="C41" s="10" t="n">
        <v>2200</v>
      </c>
      <c r="D41" s="10" t="n">
        <v>2200</v>
      </c>
      <c r="E41" s="10" t="n">
        <v>2200</v>
      </c>
      <c r="F41" s="10" t="n">
        <v>2200</v>
      </c>
      <c r="G41" s="10" t="n">
        <v>2200</v>
      </c>
      <c r="H41" s="10" t="n">
        <v>2200</v>
      </c>
      <c r="I41" s="12" t="n">
        <f aca="false">SUM(B41:H41)</f>
        <v>15400</v>
      </c>
    </row>
    <row r="42" customFormat="false" ht="15" hidden="false" customHeight="true" outlineLevel="0" collapsed="false">
      <c r="A42" s="9" t="s">
        <v>44</v>
      </c>
      <c r="B42" s="10" t="n">
        <v>0</v>
      </c>
      <c r="C42" s="10" t="n">
        <v>0</v>
      </c>
      <c r="D42" s="10" t="n">
        <v>0</v>
      </c>
      <c r="E42" s="10" t="n">
        <v>2200</v>
      </c>
      <c r="F42" s="10" t="n">
        <v>2200</v>
      </c>
      <c r="G42" s="10" t="n">
        <v>2200</v>
      </c>
      <c r="H42" s="10" t="n">
        <v>2200</v>
      </c>
      <c r="I42" s="12" t="n">
        <f aca="false">SUM(B42:H42)</f>
        <v>8800</v>
      </c>
    </row>
    <row r="43" customFormat="false" ht="15" hidden="false" customHeight="true" outlineLevel="0" collapsed="false">
      <c r="A43" s="19" t="s">
        <v>45</v>
      </c>
      <c r="B43" s="12" t="n">
        <f aca="false">SUM(B36:B42)</f>
        <v>185869</v>
      </c>
      <c r="C43" s="12" t="n">
        <f aca="false">SUM(C36:C42)</f>
        <v>185869</v>
      </c>
      <c r="D43" s="12" t="n">
        <f aca="false">SUM(D36:D42)</f>
        <v>187469</v>
      </c>
      <c r="E43" s="12" t="n">
        <f aca="false">SUM(E36:E42)</f>
        <v>189669</v>
      </c>
      <c r="F43" s="12" t="n">
        <f aca="false">SUM(F36:F42)</f>
        <v>189669</v>
      </c>
      <c r="G43" s="12" t="n">
        <f aca="false">SUM(G36:G42)</f>
        <v>189669</v>
      </c>
      <c r="H43" s="20" t="n">
        <f aca="false">SUM(H36:H42)</f>
        <v>189669</v>
      </c>
      <c r="I43" s="12" t="n">
        <f aca="false">SUM(B43:H43)</f>
        <v>1317883</v>
      </c>
    </row>
    <row r="45" customFormat="false" ht="15" hidden="false" customHeight="true" outlineLevel="0" collapsed="false">
      <c r="A45" s="7" t="s">
        <v>46</v>
      </c>
      <c r="B45" s="8"/>
      <c r="C45" s="8"/>
      <c r="D45" s="8"/>
      <c r="E45" s="8"/>
      <c r="F45" s="8"/>
      <c r="G45" s="8"/>
      <c r="H45" s="8"/>
    </row>
    <row r="46" customFormat="false" ht="15" hidden="false" customHeight="true" outlineLevel="0" collapsed="false">
      <c r="A46" s="19" t="s">
        <v>47</v>
      </c>
      <c r="B46" s="12" t="n">
        <f aca="false">B32-B43</f>
        <v>-123449.25</v>
      </c>
      <c r="C46" s="12" t="n">
        <f aca="false">C32-C43</f>
        <v>44229</v>
      </c>
      <c r="D46" s="12" t="n">
        <f aca="false">D32-D43</f>
        <v>73572.26</v>
      </c>
      <c r="E46" s="12" t="n">
        <f aca="false">E32-E43</f>
        <v>115256.73</v>
      </c>
      <c r="F46" s="12" t="n">
        <f aca="false">F32-F43</f>
        <v>31272.67</v>
      </c>
      <c r="G46" s="12" t="n">
        <f aca="false">G32-G43</f>
        <v>36807.48</v>
      </c>
      <c r="H46" s="20" t="n">
        <f aca="false">H32-H43</f>
        <v>214631.01</v>
      </c>
      <c r="I46" s="12" t="n">
        <f aca="false">I32-I43</f>
        <v>392319.9</v>
      </c>
    </row>
    <row r="47" customFormat="false" ht="15" hidden="false" customHeight="true" outlineLevel="0" collapsed="false">
      <c r="A47" s="9" t="s">
        <v>48</v>
      </c>
      <c r="B47" s="22" t="n">
        <f aca="false">IFERROR(B43/B33,0)</f>
        <v>698500.405320432</v>
      </c>
      <c r="C47" s="22" t="n">
        <f aca="false">IFERROR(C43/C33,0)</f>
        <v>513426.176672548</v>
      </c>
      <c r="D47" s="22" t="n">
        <f aca="false">IFERROR(D43/D33,0)</f>
        <v>422086.168470073</v>
      </c>
      <c r="E47" s="22" t="n">
        <f aca="false">IFERROR(E43/E33,0)</f>
        <v>374862.92328627</v>
      </c>
      <c r="F47" s="22" t="n">
        <f aca="false">IFERROR(F43/F33,0)</f>
        <v>408284.88988519</v>
      </c>
      <c r="G47" s="22" t="n">
        <f aca="false">IFERROR(G43/G33,0)</f>
        <v>444643.706525287</v>
      </c>
      <c r="H47" s="11" t="n">
        <f aca="false">IFERROR(H43/H33,0)</f>
        <v>391351.92408479</v>
      </c>
      <c r="I47" s="12" t="n">
        <f aca="false">IFERROR(I43/I33,0)</f>
        <v>3006350.95796528</v>
      </c>
    </row>
    <row r="48" customFormat="false" ht="15" hidden="false" customHeight="true" outlineLevel="0" collapsed="false">
      <c r="A48" s="9" t="s">
        <v>49</v>
      </c>
      <c r="B48" s="13" t="n">
        <f aca="false">IFERROR(B47/B20/B7,0)</f>
        <v>1.59521110820579</v>
      </c>
      <c r="C48" s="13" t="n">
        <f aca="false">IFERROR(C47/C20/C7,0)</f>
        <v>0.729609459531829</v>
      </c>
      <c r="D48" s="13" t="n">
        <f aca="false">IFERROR(D47/D20/D7,0)</f>
        <v>0.526649567454075</v>
      </c>
      <c r="E48" s="13" t="n">
        <f aca="false">IFERROR(E47/E20/E7,0)</f>
        <v>0.461496513561917</v>
      </c>
      <c r="F48" s="13" t="n">
        <f aca="false">IFERROR(F47/F20/F7,0)</f>
        <v>0.572304898392413</v>
      </c>
      <c r="G48" s="13" t="n">
        <f aca="false">IFERROR(G47/G20/G7,0)</f>
        <v>0.567323598516293</v>
      </c>
      <c r="H48" s="14" t="n">
        <f aca="false">IFERROR(H47/H20/H7,0)</f>
        <v>0.438862938248705</v>
      </c>
      <c r="I48" s="15" t="n">
        <f aca="false">IFERROR(I47/I20/SUM(B7:H7),0)</f>
        <v>0.5743153755351</v>
      </c>
    </row>
    <row r="50" customFormat="false" ht="15" hidden="false" customHeight="true" outlineLevel="0" collapsed="false">
      <c r="A50" s="24" t="s">
        <v>50</v>
      </c>
    </row>
    <row r="52" customFormat="false" ht="15" hidden="false" customHeight="true" outlineLevel="0" collapsed="false">
      <c r="A52" s="9" t="s">
        <v>51</v>
      </c>
      <c r="B52" s="25" t="n">
        <v>1.1</v>
      </c>
    </row>
    <row r="53" customFormat="false" ht="15" hidden="false" customHeight="true" outlineLevel="0" collapsed="false">
      <c r="A53" s="9" t="s">
        <v>52</v>
      </c>
      <c r="B53" s="26" t="n">
        <v>0.1</v>
      </c>
    </row>
    <row r="55" customFormat="false" ht="15" hidden="false" customHeight="true" outlineLevel="0" collapsed="false">
      <c r="A55" s="3"/>
    </row>
    <row r="56" customFormat="false" ht="15" hidden="false" customHeight="true" outlineLevel="0" collapsed="false">
      <c r="A56" s="3" t="s">
        <v>53</v>
      </c>
    </row>
    <row r="57" customFormat="false" ht="15" hidden="false" customHeight="true" outlineLevel="0" collapsed="false">
      <c r="A57" s="3"/>
    </row>
    <row r="58" customFormat="false" ht="15" hidden="false" customHeight="true" outlineLevel="0" collapsed="false">
      <c r="A58" s="3" t="s">
        <v>54</v>
      </c>
    </row>
    <row r="59" customFormat="false" ht="15" hidden="false" customHeight="true" outlineLevel="0" collapsed="false">
      <c r="A59" s="3" t="s">
        <v>55</v>
      </c>
    </row>
    <row r="60" customFormat="false" ht="15" hidden="false" customHeight="true" outlineLevel="0" collapsed="false">
      <c r="A60" s="3" t="s">
        <v>56</v>
      </c>
    </row>
    <row r="61" customFormat="false" ht="15" hidden="false" customHeight="true" outlineLevel="0" collapsed="false">
      <c r="A61" s="3" t="s">
        <v>57</v>
      </c>
    </row>
    <row r="62" customFormat="false" ht="15" hidden="false" customHeight="true" outlineLevel="0" collapsed="false">
      <c r="A62" s="3" t="s">
        <v>58</v>
      </c>
    </row>
    <row r="63" customFormat="false" ht="15" hidden="false" customHeight="true" outlineLevel="0" collapsed="false">
      <c r="A63" s="3" t="s">
        <v>59</v>
      </c>
    </row>
    <row r="64" customFormat="false" ht="15" hidden="false" customHeight="true" outlineLevel="0" collapsed="false">
      <c r="A64" s="3" t="s">
        <v>60</v>
      </c>
    </row>
    <row r="65" customFormat="false" ht="15" hidden="false" customHeight="true" outlineLevel="0" collapsed="false">
      <c r="A65" s="3" t="s">
        <v>61</v>
      </c>
    </row>
    <row r="66" customFormat="false" ht="15" hidden="false" customHeight="true" outlineLevel="0" collapsed="false">
      <c r="A66" s="3"/>
    </row>
    <row r="67" customFormat="false" ht="15" hidden="false" customHeight="true" outlineLevel="0" collapsed="false">
      <c r="A67" s="3" t="s">
        <v>62</v>
      </c>
    </row>
    <row r="68" customFormat="false" ht="15" hidden="false" customHeight="true" outlineLevel="0" collapsed="false">
      <c r="A68" s="3" t="s">
        <v>63</v>
      </c>
    </row>
    <row r="69" customFormat="false" ht="15" hidden="false" customHeight="true" outlineLevel="0" collapsed="false">
      <c r="A69" s="3" t="s">
        <v>64</v>
      </c>
    </row>
    <row r="70" customFormat="false" ht="15" hidden="false" customHeight="true" outlineLevel="0" collapsed="false">
      <c r="A70" s="3" t="s">
        <v>65</v>
      </c>
    </row>
    <row r="71" customFormat="false" ht="15" hidden="false" customHeight="true" outlineLevel="0" collapsed="false">
      <c r="A71" s="3" t="s">
        <v>66</v>
      </c>
    </row>
    <row r="72" customFormat="false" ht="15" hidden="false" customHeight="true" outlineLevel="0" collapsed="false">
      <c r="A72" s="3" t="s">
        <v>67</v>
      </c>
    </row>
    <row r="73" customFormat="false" ht="15" hidden="false" customHeight="true" outlineLevel="0" collapsed="false">
      <c r="A73" s="3" t="s">
        <v>68</v>
      </c>
    </row>
    <row r="74" customFormat="false" ht="15" hidden="false" customHeight="true" outlineLevel="0" collapsed="false">
      <c r="A74" s="3"/>
    </row>
    <row r="75" customFormat="false" ht="15" hidden="false" customHeight="true" outlineLevel="0" collapsed="false">
      <c r="A75" s="3" t="s">
        <v>69</v>
      </c>
    </row>
    <row r="76" customFormat="false" ht="15" hidden="false" customHeight="true" outlineLevel="0" collapsed="false">
      <c r="A76" s="3" t="s">
        <v>70</v>
      </c>
    </row>
    <row r="77" customFormat="false" ht="15" hidden="false" customHeight="true" outlineLevel="0" collapsed="false">
      <c r="A77" s="3" t="s">
        <v>71</v>
      </c>
    </row>
    <row r="78" customFormat="false" ht="15" hidden="false" customHeight="true" outlineLevel="0" collapsed="false">
      <c r="A78" s="3" t="s">
        <v>72</v>
      </c>
    </row>
    <row r="79" customFormat="false" ht="15" hidden="false" customHeight="true" outlineLevel="0" collapsed="false">
      <c r="A79" s="3"/>
    </row>
    <row r="80" customFormat="false" ht="15" hidden="false" customHeight="true" outlineLevel="0" collapsed="false">
      <c r="A80" s="3" t="s">
        <v>73</v>
      </c>
    </row>
    <row r="81" customFormat="false" ht="15" hidden="false" customHeight="true" outlineLevel="0" collapsed="false">
      <c r="A81" s="3" t="s">
        <v>74</v>
      </c>
    </row>
    <row r="82" customFormat="false" ht="15" hidden="false" customHeight="true" outlineLevel="0" collapsed="false">
      <c r="A82" s="3" t="s">
        <v>75</v>
      </c>
    </row>
    <row r="83" customFormat="false" ht="15" hidden="false" customHeight="true" outlineLevel="0" collapsed="false">
      <c r="A83" s="3" t="s">
        <v>76</v>
      </c>
    </row>
    <row r="84" customFormat="false" ht="15" hidden="false" customHeight="true" outlineLevel="0" collapsed="false">
      <c r="A84" s="3" t="s">
        <v>77</v>
      </c>
    </row>
    <row r="85" customFormat="false" ht="15" hidden="false" customHeight="true" outlineLevel="0" collapsed="false">
      <c r="A85" s="3"/>
    </row>
    <row r="86" customFormat="false" ht="15" hidden="false" customHeight="true" outlineLevel="0" collapsed="false">
      <c r="A86" s="3" t="s">
        <v>78</v>
      </c>
    </row>
    <row r="87" customFormat="false" ht="15" hidden="false" customHeight="true" outlineLevel="0" collapsed="false">
      <c r="A87" s="3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8" min="2" style="1" width="13"/>
  </cols>
  <sheetData>
    <row r="1" customFormat="false" ht="19.5" hidden="false" customHeight="true" outlineLevel="0" collapsed="false">
      <c r="A1" s="27" t="s">
        <v>80</v>
      </c>
    </row>
    <row r="2" customFormat="false" ht="15" hidden="false" customHeight="true" outlineLevel="0" collapsed="false">
      <c r="A2" s="3" t="s">
        <v>81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6" t="s">
        <v>82</v>
      </c>
    </row>
    <row r="6" customFormat="false" ht="15" hidden="false" customHeight="true" outlineLevel="0" collapsed="false">
      <c r="A6" s="28" t="s">
        <v>83</v>
      </c>
      <c r="B6" s="8"/>
      <c r="C6" s="8"/>
      <c r="D6" s="8"/>
      <c r="E6" s="8"/>
      <c r="F6" s="8"/>
      <c r="G6" s="8"/>
    </row>
    <row r="7" customFormat="false" ht="15" hidden="false" customHeight="true" outlineLevel="0" collapsed="false">
      <c r="A7" s="9" t="s">
        <v>84</v>
      </c>
      <c r="B7" s="10" t="n">
        <v>122620</v>
      </c>
      <c r="C7" s="10" t="n">
        <v>244960</v>
      </c>
      <c r="D7" s="10" t="n">
        <v>264566</v>
      </c>
      <c r="E7" s="10" t="n">
        <v>161020</v>
      </c>
      <c r="F7" s="10" t="n">
        <v>192635</v>
      </c>
      <c r="G7" s="11" t="n">
        <v>293548</v>
      </c>
      <c r="H7" s="12" t="n">
        <f aca="false">SUM(B7:F7)</f>
        <v>985801</v>
      </c>
    </row>
    <row r="8" customFormat="false" ht="15" hidden="false" customHeight="true" outlineLevel="0" collapsed="false">
      <c r="A8" s="9" t="s">
        <v>85</v>
      </c>
      <c r="B8" s="10" t="n">
        <v>5</v>
      </c>
      <c r="C8" s="10" t="n">
        <v>8</v>
      </c>
      <c r="D8" s="10" t="n">
        <v>8</v>
      </c>
      <c r="E8" s="10" t="n">
        <v>5</v>
      </c>
      <c r="F8" s="10" t="n">
        <v>4</v>
      </c>
      <c r="G8" s="11" t="n">
        <v>0</v>
      </c>
      <c r="H8" s="12" t="n">
        <f aca="false">SUM(B8:F8)</f>
        <v>30</v>
      </c>
    </row>
    <row r="9" customFormat="false" ht="15" hidden="false" customHeight="true" outlineLevel="0" collapsed="false">
      <c r="A9" s="9" t="s">
        <v>86</v>
      </c>
      <c r="B9" s="10" t="n">
        <v>7</v>
      </c>
      <c r="C9" s="10" t="n">
        <v>9</v>
      </c>
      <c r="D9" s="10" t="n">
        <v>10</v>
      </c>
      <c r="E9" s="10" t="n">
        <v>7</v>
      </c>
      <c r="F9" s="10" t="n">
        <v>7</v>
      </c>
      <c r="G9" s="11" t="n">
        <v>0</v>
      </c>
      <c r="H9" s="12" t="n">
        <f aca="false">SUM(B9:F9)</f>
        <v>40</v>
      </c>
    </row>
    <row r="10" customFormat="false" ht="15" hidden="false" customHeight="true" outlineLevel="0" collapsed="false">
      <c r="A10" s="9" t="s">
        <v>87</v>
      </c>
      <c r="B10" s="10" t="n">
        <v>19006</v>
      </c>
      <c r="C10" s="10" t="n">
        <v>37969</v>
      </c>
      <c r="D10" s="10" t="n">
        <v>41008</v>
      </c>
      <c r="E10" s="10" t="n">
        <v>24959</v>
      </c>
      <c r="F10" s="10" t="n">
        <v>29858</v>
      </c>
      <c r="G10" s="11" t="n">
        <v>45500</v>
      </c>
      <c r="H10" s="12" t="n">
        <f aca="false">SUM(B10:F10)</f>
        <v>152800</v>
      </c>
    </row>
    <row r="11" customFormat="false" ht="15" hidden="false" customHeight="true" outlineLevel="0" collapsed="false">
      <c r="A11" s="9" t="s">
        <v>88</v>
      </c>
      <c r="B11" s="13" t="n">
        <f aca="false">IFERROR(B10/B7,0)</f>
        <v>0.154999184472354</v>
      </c>
      <c r="C11" s="13" t="n">
        <f aca="false">IFERROR(C10/C7,0)</f>
        <v>0.15500081645983</v>
      </c>
      <c r="D11" s="13" t="n">
        <f aca="false">IFERROR(D10/D7,0)</f>
        <v>0.155001020539298</v>
      </c>
      <c r="E11" s="13" t="n">
        <f aca="false">IFERROR(E10/E7,0)</f>
        <v>0.15500558936778</v>
      </c>
      <c r="F11" s="13" t="n">
        <f aca="false">IFERROR(F10/F7,0)</f>
        <v>0.154997793755029</v>
      </c>
      <c r="G11" s="14" t="n">
        <f aca="false">IFERROR(G10/G7,0)</f>
        <v>0.155000204395874</v>
      </c>
      <c r="H11" s="15" t="n">
        <f aca="false">H10/H7</f>
        <v>0.155000857170971</v>
      </c>
    </row>
    <row r="12" customFormat="false" ht="15" hidden="false" customHeight="true" outlineLevel="0" collapsed="false">
      <c r="A12" s="9" t="s">
        <v>89</v>
      </c>
      <c r="B12" s="22" t="n">
        <f aca="false">IFERROR(B7/B9,0)</f>
        <v>17517.1428571429</v>
      </c>
      <c r="C12" s="22" t="n">
        <f aca="false">IFERROR(C7/C9,0)</f>
        <v>27217.7777777778</v>
      </c>
      <c r="D12" s="22" t="n">
        <f aca="false">IFERROR(D7/D9,0)</f>
        <v>26456.6</v>
      </c>
      <c r="E12" s="22" t="n">
        <f aca="false">IFERROR(E7/E9,0)</f>
        <v>23002.8571428571</v>
      </c>
      <c r="F12" s="22" t="n">
        <f aca="false">IFERROR(F7/F9,0)</f>
        <v>27519.2857142857</v>
      </c>
      <c r="G12" s="11" t="n">
        <f aca="false">IFERROR(G7/G9,0)</f>
        <v>0</v>
      </c>
      <c r="H12" s="12" t="n">
        <f aca="false">H7/H9</f>
        <v>24645.025</v>
      </c>
    </row>
    <row r="13" customFormat="false" ht="15" hidden="false" customHeight="true" outlineLevel="0" collapsed="false">
      <c r="A13" s="9" t="s">
        <v>90</v>
      </c>
      <c r="B13" s="16" t="n">
        <f aca="false">IFERROR(B9/B8,0)</f>
        <v>1.4</v>
      </c>
      <c r="C13" s="16" t="n">
        <f aca="false">IFERROR(C9/C8,0)</f>
        <v>1.125</v>
      </c>
      <c r="D13" s="16" t="n">
        <f aca="false">IFERROR(D9/D8,0)</f>
        <v>1.25</v>
      </c>
      <c r="E13" s="16" t="n">
        <f aca="false">IFERROR(E9/E8,0)</f>
        <v>1.4</v>
      </c>
      <c r="F13" s="16" t="n">
        <f aca="false">IFERROR(F9/F8,0)</f>
        <v>1.75</v>
      </c>
      <c r="G13" s="17" t="n">
        <f aca="false">IFERROR(G9/G8,0)</f>
        <v>0</v>
      </c>
      <c r="H13" s="18" t="n">
        <f aca="false">H9/H8</f>
        <v>1.33333333333333</v>
      </c>
    </row>
    <row r="15" customFormat="false" ht="15" hidden="false" customHeight="true" outlineLevel="0" collapsed="false">
      <c r="A15" s="28" t="s">
        <v>91</v>
      </c>
      <c r="B15" s="8"/>
      <c r="C15" s="8"/>
      <c r="D15" s="8"/>
      <c r="E15" s="8"/>
      <c r="F15" s="8"/>
      <c r="G15" s="8"/>
    </row>
    <row r="16" customFormat="false" ht="15" hidden="false" customHeight="true" outlineLevel="0" collapsed="false">
      <c r="A16" s="9" t="s">
        <v>84</v>
      </c>
      <c r="B16" s="10" t="n">
        <v>111955</v>
      </c>
      <c r="C16" s="10" t="n">
        <v>342774</v>
      </c>
      <c r="D16" s="10" t="n">
        <v>338091</v>
      </c>
      <c r="E16" s="10" t="n">
        <v>314583</v>
      </c>
      <c r="F16" s="10" t="n">
        <v>338297</v>
      </c>
      <c r="G16" s="11" t="n">
        <v>540661</v>
      </c>
      <c r="H16" s="12" t="n">
        <f aca="false">SUM(B16:F16)</f>
        <v>1445700</v>
      </c>
    </row>
    <row r="17" customFormat="false" ht="15" hidden="false" customHeight="true" outlineLevel="0" collapsed="false">
      <c r="A17" s="9" t="s">
        <v>85</v>
      </c>
      <c r="B17" s="10" t="n">
        <v>7</v>
      </c>
      <c r="C17" s="10" t="n">
        <v>9</v>
      </c>
      <c r="D17" s="10" t="n">
        <v>10</v>
      </c>
      <c r="E17" s="10" t="n">
        <v>7</v>
      </c>
      <c r="F17" s="10" t="n">
        <v>14</v>
      </c>
      <c r="G17" s="11" t="n">
        <v>0</v>
      </c>
      <c r="H17" s="12" t="n">
        <f aca="false">SUM(B17:F17)</f>
        <v>47</v>
      </c>
    </row>
    <row r="18" customFormat="false" ht="15" hidden="false" customHeight="true" outlineLevel="0" collapsed="false">
      <c r="A18" s="9" t="s">
        <v>86</v>
      </c>
      <c r="B18" s="10" t="n">
        <v>8</v>
      </c>
      <c r="C18" s="10" t="n">
        <v>13</v>
      </c>
      <c r="D18" s="10" t="n">
        <v>13</v>
      </c>
      <c r="E18" s="10" t="n">
        <v>13</v>
      </c>
      <c r="F18" s="10" t="n">
        <v>14</v>
      </c>
      <c r="G18" s="11" t="n">
        <v>0</v>
      </c>
      <c r="H18" s="12" t="n">
        <f aca="false">SUM(B18:F18)</f>
        <v>61</v>
      </c>
    </row>
    <row r="19" customFormat="false" ht="15" hidden="false" customHeight="true" outlineLevel="0" collapsed="false">
      <c r="A19" s="9" t="s">
        <v>87</v>
      </c>
      <c r="B19" s="10" t="n">
        <v>14892</v>
      </c>
      <c r="C19" s="10" t="n">
        <v>53659</v>
      </c>
      <c r="D19" s="10" t="n">
        <v>46418</v>
      </c>
      <c r="E19" s="10" t="n">
        <v>44985</v>
      </c>
      <c r="F19" s="10" t="n">
        <v>48376</v>
      </c>
      <c r="G19" s="11" t="n">
        <v>77315</v>
      </c>
      <c r="H19" s="12" t="n">
        <f aca="false">SUM(B19:F19)</f>
        <v>208330</v>
      </c>
    </row>
    <row r="20" customFormat="false" ht="15" hidden="false" customHeight="true" outlineLevel="0" collapsed="false">
      <c r="A20" s="9" t="s">
        <v>88</v>
      </c>
      <c r="B20" s="13" t="n">
        <f aca="false">IFERROR(B19/B16,0)</f>
        <v>0.133017730338082</v>
      </c>
      <c r="C20" s="13" t="n">
        <f aca="false">IFERROR(C19/C16,0)</f>
        <v>0.156543378435937</v>
      </c>
      <c r="D20" s="13" t="n">
        <f aca="false">IFERROR(D19/D16,0)</f>
        <v>0.137294397070611</v>
      </c>
      <c r="E20" s="13" t="n">
        <f aca="false">IFERROR(E19/E16,0)</f>
        <v>0.142998827018625</v>
      </c>
      <c r="F20" s="13" t="n">
        <f aca="false">IFERROR(F19/F16,0)</f>
        <v>0.142998607732259</v>
      </c>
      <c r="G20" s="14" t="n">
        <f aca="false">IFERROR(G19/G16,0)</f>
        <v>0.14300088225339</v>
      </c>
      <c r="H20" s="15" t="n">
        <f aca="false">H19/H16</f>
        <v>0.144103202600816</v>
      </c>
    </row>
    <row r="21" customFormat="false" ht="15" hidden="false" customHeight="true" outlineLevel="0" collapsed="false">
      <c r="A21" s="9" t="s">
        <v>89</v>
      </c>
      <c r="B21" s="22" t="n">
        <f aca="false">IFERROR(B16/B18,0)</f>
        <v>13994.375</v>
      </c>
      <c r="C21" s="22" t="n">
        <f aca="false">IFERROR(C16/C18,0)</f>
        <v>26367.2307692308</v>
      </c>
      <c r="D21" s="22" t="n">
        <f aca="false">IFERROR(D16/D18,0)</f>
        <v>26007</v>
      </c>
      <c r="E21" s="22" t="n">
        <f aca="false">IFERROR(E16/E18,0)</f>
        <v>24198.6923076923</v>
      </c>
      <c r="F21" s="22" t="n">
        <f aca="false">IFERROR(F16/F18,0)</f>
        <v>24164.0714285714</v>
      </c>
      <c r="G21" s="11" t="n">
        <f aca="false">IFERROR(G16/G18,0)</f>
        <v>0</v>
      </c>
      <c r="H21" s="12" t="n">
        <f aca="false">H16/H18</f>
        <v>23700</v>
      </c>
    </row>
    <row r="22" customFormat="false" ht="15" hidden="false" customHeight="true" outlineLevel="0" collapsed="false">
      <c r="A22" s="9" t="s">
        <v>90</v>
      </c>
      <c r="B22" s="16" t="n">
        <f aca="false">IFERROR(B18/B17,0)</f>
        <v>1.14285714285714</v>
      </c>
      <c r="C22" s="16" t="n">
        <f aca="false">IFERROR(C18/C17,0)</f>
        <v>1.44444444444444</v>
      </c>
      <c r="D22" s="16" t="n">
        <f aca="false">IFERROR(D18/D17,0)</f>
        <v>1.3</v>
      </c>
      <c r="E22" s="16" t="n">
        <f aca="false">IFERROR(E18/E17,0)</f>
        <v>1.85714285714286</v>
      </c>
      <c r="F22" s="16" t="n">
        <f aca="false">IFERROR(F18/F17,0)</f>
        <v>1</v>
      </c>
      <c r="G22" s="17" t="n">
        <f aca="false">IFERROR(G18/G17,0)</f>
        <v>0</v>
      </c>
      <c r="H22" s="18" t="n">
        <f aca="false">H18/H17</f>
        <v>1.29787234042553</v>
      </c>
    </row>
    <row r="23" customFormat="false" ht="15" hidden="false" customHeight="true" outlineLevel="0" collapsed="false">
      <c r="A23" s="9" t="s">
        <v>92</v>
      </c>
      <c r="B23" s="10" t="n">
        <v>0</v>
      </c>
      <c r="C23" s="10" t="n">
        <v>220091</v>
      </c>
      <c r="D23" s="10" t="n">
        <v>39587</v>
      </c>
      <c r="E23" s="10" t="n">
        <v>0</v>
      </c>
      <c r="F23" s="10" t="n">
        <v>0</v>
      </c>
      <c r="G23" s="11" t="n">
        <v>0</v>
      </c>
      <c r="H23" s="12" t="n">
        <f aca="false">SUM(B23:F23)</f>
        <v>259678</v>
      </c>
    </row>
    <row r="25" customFormat="false" ht="15" hidden="false" customHeight="true" outlineLevel="0" collapsed="false">
      <c r="A25" s="28" t="s">
        <v>93</v>
      </c>
      <c r="B25" s="8"/>
      <c r="C25" s="8"/>
      <c r="D25" s="8"/>
      <c r="E25" s="8"/>
      <c r="F25" s="8"/>
      <c r="G25" s="8"/>
    </row>
    <row r="26" customFormat="false" ht="15" hidden="false" customHeight="true" outlineLevel="0" collapsed="false">
      <c r="A26" s="29" t="s">
        <v>94</v>
      </c>
      <c r="B26" s="12" t="n">
        <f aca="false">IFERROR(B12*(1-B11-$B$34*$B$33)-$B$31/B13-$B$32,0)</f>
        <v>5616.11428571429</v>
      </c>
      <c r="C26" s="12" t="n">
        <f aca="false">IFERROR(C12*(1-C11-$B$34*$B$33)-$B$31/C13-$B$32,0)</f>
        <v>11254.9333333333</v>
      </c>
      <c r="D26" s="12" t="n">
        <f aca="false">IFERROR(D12*(1-D11-$B$34*$B$33)-$B$31/D13-$B$32,0)</f>
        <v>11454.574</v>
      </c>
      <c r="E26" s="12" t="n">
        <f aca="false">IFERROR(E12*(1-E11-$B$34*$B$33)-$B$31/E13-$B$32,0)</f>
        <v>9647.97142857143</v>
      </c>
      <c r="F26" s="12" t="n">
        <f aca="false">IFERROR(F12*(1-F11-$B$34*$B$33)-$B$31/F13-$B$32,0)</f>
        <v>14187.7357142857</v>
      </c>
      <c r="G26" s="12" t="n">
        <f aca="false">IFERROR(G12*(1-G11-$B$34*$B$33)-$B$31/G13-$B$32,0)</f>
        <v>0</v>
      </c>
      <c r="H26" s="12" t="n">
        <f aca="false">H12*(1-H11-$B$34*$B$33)-$B$31/H13-$B$32</f>
        <v>10550.07225</v>
      </c>
    </row>
    <row r="27" customFormat="false" ht="15" hidden="false" customHeight="true" outlineLevel="0" collapsed="false">
      <c r="A27" s="29" t="s">
        <v>95</v>
      </c>
      <c r="B27" s="12" t="n">
        <f aca="false">IFERROR(B21*(1-B20-$B$34*$B$33)-$B$31/B22-$B$32,0)</f>
        <v>1961.99375</v>
      </c>
      <c r="C27" s="12" t="n">
        <f aca="false">IFERROR(C21*(1-C20-$B$34*$B$33)-$B$31/C22-$B$32,0)</f>
        <v>12267.9123076923</v>
      </c>
      <c r="D27" s="12" t="n">
        <f aca="false">IFERROR(D21*(1-D20-$B$34*$B$33)-$B$31/D22-$B$32,0)</f>
        <v>11847.3838461538</v>
      </c>
      <c r="E27" s="12" t="n">
        <f aca="false">IFERROR(E21*(1-E20-$B$34*$B$33)-$B$31/E22-$B$32,0)</f>
        <v>12318.99</v>
      </c>
      <c r="F27" s="12" t="n">
        <f aca="false">IFERROR(F21*(1-F20-$B$34*$B$33)-$B$31/F22-$B$32,0)</f>
        <v>8351.595</v>
      </c>
      <c r="G27" s="12" t="n">
        <f aca="false">IFERROR(G21*(1-G20-$B$34*$B$33)-$B$31/G22-$B$32,0)</f>
        <v>0</v>
      </c>
      <c r="H27" s="12" t="n">
        <f aca="false">H21*(1-H20-$B$34*$B$33)-$B$31/H22-$B$32</f>
        <v>9938.75409836066</v>
      </c>
    </row>
    <row r="29" customFormat="false" ht="15" hidden="false" customHeight="true" outlineLevel="0" collapsed="false">
      <c r="A29" s="7" t="s">
        <v>96</v>
      </c>
      <c r="B29" s="8"/>
      <c r="C29" s="8"/>
      <c r="D29" s="8"/>
      <c r="E29" s="8"/>
      <c r="F29" s="8"/>
      <c r="G29" s="8"/>
    </row>
    <row r="30" customFormat="false" ht="15" hidden="false" customHeight="true" outlineLevel="0" collapsed="false">
      <c r="A30" s="19" t="s">
        <v>2</v>
      </c>
    </row>
    <row r="31" customFormat="false" ht="15" hidden="false" customHeight="true" outlineLevel="0" collapsed="false">
      <c r="A31" s="9" t="s">
        <v>97</v>
      </c>
      <c r="B31" s="30" t="n">
        <v>8540</v>
      </c>
    </row>
    <row r="32" customFormat="false" ht="15" hidden="false" customHeight="true" outlineLevel="0" collapsed="false">
      <c r="A32" s="9" t="s">
        <v>98</v>
      </c>
      <c r="B32" s="30" t="n">
        <v>1159</v>
      </c>
    </row>
    <row r="33" customFormat="false" ht="15" hidden="false" customHeight="true" outlineLevel="0" collapsed="false">
      <c r="A33" s="9" t="s">
        <v>51</v>
      </c>
      <c r="B33" s="25" t="n">
        <v>1.1</v>
      </c>
    </row>
    <row r="34" customFormat="false" ht="15" hidden="false" customHeight="true" outlineLevel="0" collapsed="false">
      <c r="A34" s="9" t="s">
        <v>52</v>
      </c>
      <c r="B34" s="26" t="n">
        <v>0.1</v>
      </c>
    </row>
    <row r="36" customFormat="false" ht="15" hidden="false" customHeight="true" outlineLevel="0" collapsed="false">
      <c r="A36" s="3"/>
    </row>
    <row r="37" customFormat="false" ht="15" hidden="false" customHeight="true" outlineLevel="0" collapsed="false">
      <c r="A37" s="3" t="s">
        <v>99</v>
      </c>
    </row>
    <row r="38" customFormat="false" ht="15" hidden="false" customHeight="true" outlineLevel="0" collapsed="false">
      <c r="A38" s="3" t="s">
        <v>100</v>
      </c>
    </row>
    <row r="39" customFormat="false" ht="15" hidden="false" customHeight="true" outlineLevel="0" collapsed="false">
      <c r="A39" s="3" t="s">
        <v>101</v>
      </c>
    </row>
    <row r="40" customFormat="false" ht="15" hidden="false" customHeight="true" outlineLevel="0" collapsed="false">
      <c r="A40" s="3"/>
    </row>
    <row r="41" customFormat="false" ht="15" hidden="false" customHeight="true" outlineLevel="0" collapsed="false">
      <c r="A41" s="3" t="s">
        <v>102</v>
      </c>
    </row>
    <row r="42" customFormat="false" ht="15" hidden="false" customHeight="true" outlineLevel="0" collapsed="false">
      <c r="A42" s="3" t="s">
        <v>103</v>
      </c>
    </row>
    <row r="43" customFormat="false" ht="15" hidden="false" customHeight="true" outlineLevel="0" collapsed="false">
      <c r="A43" s="31" t="s">
        <v>104</v>
      </c>
    </row>
    <row r="44" customFormat="false" ht="15" hidden="false" customHeight="true" outlineLevel="0" collapsed="false">
      <c r="A44" s="3" t="s">
        <v>105</v>
      </c>
    </row>
    <row r="45" customFormat="false" ht="15" hidden="false" customHeight="true" outlineLevel="0" collapsed="false">
      <c r="A45" s="3"/>
    </row>
    <row r="46" customFormat="false" ht="15" hidden="false" customHeight="true" outlineLevel="0" collapsed="false">
      <c r="A46" s="3" t="s">
        <v>106</v>
      </c>
    </row>
    <row r="47" customFormat="false" ht="15" hidden="false" customHeight="true" outlineLevel="0" collapsed="false">
      <c r="A47" s="3" t="s">
        <v>107</v>
      </c>
    </row>
    <row r="48" customFormat="false" ht="15" hidden="false" customHeight="true" outlineLevel="0" collapsed="false">
      <c r="A48" s="3" t="s">
        <v>108</v>
      </c>
    </row>
    <row r="49" customFormat="false" ht="15" hidden="false" customHeight="true" outlineLevel="0" collapsed="false">
      <c r="A49" s="3" t="s">
        <v>109</v>
      </c>
    </row>
    <row r="50" customFormat="false" ht="15" hidden="false" customHeight="true" outlineLevel="0" collapsed="false">
      <c r="A50" s="3" t="s">
        <v>110</v>
      </c>
    </row>
    <row r="51" customFormat="false" ht="15" hidden="false" customHeight="true" outlineLevel="0" collapsed="false">
      <c r="A51" s="3"/>
    </row>
    <row r="52" customFormat="false" ht="15" hidden="false" customHeight="true" outlineLevel="0" collapsed="false">
      <c r="A52" s="3" t="s">
        <v>111</v>
      </c>
    </row>
    <row r="53" customFormat="false" ht="15" hidden="false" customHeight="true" outlineLevel="0" collapsed="false">
      <c r="A53" s="3" t="s">
        <v>112</v>
      </c>
    </row>
    <row r="54" customFormat="false" ht="15" hidden="false" customHeight="true" outlineLevel="0" collapsed="false">
      <c r="A54" s="3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2026-08-28T13:02:43Z</dcterms:created>
  <dc:creator>openpyxl</dc:creator>
  <dc:description/>
  <dc:language>en-US</dc:language>
  <cp:lastModifiedBy/>
  <dcterms:modified xsi:type="dcterms:W3CDTF">2026-08-28T13:03:07Z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